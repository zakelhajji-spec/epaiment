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ûts Infrastructure" sheetId="1" state="visible" r:id="rId1"/>
    <sheet xmlns:r="http://schemas.openxmlformats.org/officeDocument/2006/relationships" name="Analyse Tarification" sheetId="2" state="visible" r:id="rId2"/>
    <sheet xmlns:r="http://schemas.openxmlformats.org/officeDocument/2006/relationships" name="Seuil Rentabilité" sheetId="3" state="visible" r:id="rId3"/>
    <sheet xmlns:r="http://schemas.openxmlformats.org/officeDocument/2006/relationships" name="Recomma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b val="1"/>
      <color rgb="00000000"/>
      <sz val="18"/>
    </font>
    <font>
      <name val="Times New Roman"/>
      <i val="1"/>
      <color rgb="00666666"/>
      <sz val="12"/>
    </font>
    <font>
      <name val="Times New Roman"/>
      <b val="1"/>
      <color rgb="001B3F66"/>
      <sz val="14"/>
    </font>
    <font>
      <name val="Times New Roman"/>
      <b val="1"/>
      <color rgb="00FFFFFF"/>
    </font>
    <font>
      <b val="1"/>
    </font>
    <font>
      <name val="Times New Roman"/>
      <b val="1"/>
      <color rgb="00C41E3A"/>
      <sz val="14"/>
    </font>
    <font>
      <name val="Times New Roman"/>
      <b val="1"/>
      <color rgb="002E8B57"/>
      <sz val="14"/>
    </font>
    <font>
      <name val="Times New Roman"/>
      <b val="1"/>
      <color rgb="002E8B57"/>
      <sz val="12"/>
    </font>
    <font>
      <name val="Times New Roman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F66"/>
        <bgColor rgb="001B3F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5" fillId="0" borderId="1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7"/>
  <sheetViews>
    <sheetView workbookViewId="0">
      <selection activeCell="A1" sqref="A1"/>
    </sheetView>
  </sheetViews>
  <sheetFormatPr baseColWidth="8" defaultRowHeight="15"/>
  <cols>
    <col width="35" customWidth="1" min="2" max="2"/>
    <col width="25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2" ht="30" customHeight="1">
      <c r="B2" s="1" t="inlineStr">
        <is>
          <t>ANALYSE DES COÛTS - E-PAIEMENT.MA</t>
        </is>
      </c>
    </row>
    <row r="3">
      <c r="B3" s="2" t="inlineStr">
        <is>
          <t>Analyse détaillée des coûts d'infrastructure et opérationnels</t>
        </is>
      </c>
    </row>
    <row r="5">
      <c r="B5" s="3" t="inlineStr">
        <is>
          <t>1. COÛTS FIXES MENSUELS</t>
        </is>
      </c>
    </row>
    <row r="6">
      <c r="B6" s="4" t="inlineStr">
        <is>
          <t>Composant</t>
        </is>
      </c>
      <c r="C6" s="4" t="inlineStr">
        <is>
          <t>Description</t>
        </is>
      </c>
      <c r="D6" s="4" t="inlineStr">
        <is>
          <t>Coût Mensuel (MAD)</t>
        </is>
      </c>
      <c r="E6" s="4" t="inlineStr">
        <is>
          <t>Coût Annuel (MAD)</t>
        </is>
      </c>
    </row>
    <row r="7">
      <c r="B7" s="5" t="inlineStr">
        <is>
          <t>Serveur Cloud (Google Cloud Run)</t>
        </is>
      </c>
      <c r="C7" s="5" t="inlineStr">
        <is>
          <t>Instance 2 vCPU, 4GB RAM</t>
        </is>
      </c>
      <c r="D7" s="6" t="n">
        <v>400</v>
      </c>
      <c r="E7" s="6">
        <f>D7*12</f>
        <v/>
      </c>
    </row>
    <row r="8">
      <c r="B8" s="5" t="inlineStr">
        <is>
          <t>Base de données (Supabase/PostgreSQL)</t>
        </is>
      </c>
      <c r="C8" s="5" t="inlineStr">
        <is>
          <t>500MB inclus, backup</t>
        </is>
      </c>
      <c r="D8" s="6" t="n">
        <v>0</v>
      </c>
      <c r="E8" s="6">
        <f>D8*12</f>
        <v/>
      </c>
    </row>
    <row r="9">
      <c r="B9" s="5" t="inlineStr">
        <is>
          <t>Stockage fichiers</t>
        </is>
      </c>
      <c r="C9" s="5" t="inlineStr">
        <is>
          <t>10GB pour reçus/PDF</t>
        </is>
      </c>
      <c r="D9" s="6" t="n">
        <v>20</v>
      </c>
      <c r="E9" s="6">
        <f>D9*12</f>
        <v/>
      </c>
    </row>
    <row r="10">
      <c r="B10" s="5" t="inlineStr">
        <is>
          <t>Domaine .ma</t>
        </is>
      </c>
      <c r="C10" s="5" t="inlineStr">
        <is>
          <t>Renouvellement annuel</t>
        </is>
      </c>
      <c r="D10" s="6" t="n">
        <v>15</v>
      </c>
      <c r="E10" s="6">
        <f>D10*12</f>
        <v/>
      </c>
    </row>
    <row r="11">
      <c r="B11" s="5" t="inlineStr">
        <is>
          <t>CDN &amp; Bande passante</t>
        </is>
      </c>
      <c r="C11" s="5" t="inlineStr">
        <is>
          <t>Cloudflare (gratuit)</t>
        </is>
      </c>
      <c r="D11" s="6" t="n">
        <v>0</v>
      </c>
      <c r="E11" s="6">
        <f>D11*12</f>
        <v/>
      </c>
    </row>
    <row r="12">
      <c r="B12" s="5" t="inlineStr">
        <is>
          <t>Service Email (SendGrid)</t>
        </is>
      </c>
      <c r="C12" s="5" t="inlineStr">
        <is>
          <t>100 emails/jour gratuit</t>
        </is>
      </c>
      <c r="D12" s="6" t="n">
        <v>0</v>
      </c>
      <c r="E12" s="6">
        <f>D12*12</f>
        <v/>
      </c>
    </row>
    <row r="13">
      <c r="B13" s="5" t="inlineStr">
        <is>
          <t>SSL Certificate</t>
        </is>
      </c>
      <c r="C13" s="5" t="inlineStr">
        <is>
          <t>Let's Encrypt (gratuit)</t>
        </is>
      </c>
      <c r="D13" s="6" t="n">
        <v>0</v>
      </c>
      <c r="E13" s="6">
        <f>D13*12</f>
        <v/>
      </c>
    </row>
    <row r="14">
      <c r="B14" s="5" t="inlineStr">
        <is>
          <t>Monitoring (Sentry)</t>
        </is>
      </c>
      <c r="C14" s="5" t="inlineStr">
        <is>
          <t>Tier gratuit</t>
        </is>
      </c>
      <c r="D14" s="6" t="n">
        <v>0</v>
      </c>
      <c r="E14" s="6">
        <f>D14*12</f>
        <v/>
      </c>
    </row>
    <row r="15">
      <c r="B15" s="7" t="inlineStr">
        <is>
          <t>TOTAL COÛTS FIXES</t>
        </is>
      </c>
      <c r="C15" s="7" t="inlineStr"/>
      <c r="D15" s="7">
        <f>SUM(D7:D14)</f>
        <v/>
      </c>
      <c r="E15" s="7">
        <f>SUM(E7:E14)</f>
        <v/>
      </c>
    </row>
    <row r="17">
      <c r="B17" s="3" t="inlineStr">
        <is>
          <t>2. COÛTS VARIABLES PAR UTILISATEUR</t>
        </is>
      </c>
    </row>
    <row r="18">
      <c r="B18" s="4" t="inlineStr">
        <is>
          <t>Composant</t>
        </is>
      </c>
      <c r="C18" s="4" t="inlineStr">
        <is>
          <t>Unité</t>
        </is>
      </c>
      <c r="D18" s="4" t="inlineStr">
        <is>
          <t>Coût/Unité (MAD)</t>
        </is>
      </c>
      <c r="E18" s="4" t="inlineStr">
        <is>
          <t>Notes</t>
        </is>
      </c>
    </row>
    <row r="19">
      <c r="B19" s="5" t="inlineStr">
        <is>
          <t>Stockage PDF par facture</t>
        </is>
      </c>
      <c r="C19" s="6" t="inlineStr">
        <is>
          <t>100 KB/facture</t>
        </is>
      </c>
      <c r="D19" s="6" t="n">
        <v>2e-05</v>
      </c>
      <c r="E19" s="6" t="inlineStr">
        <is>
          <t>Négligeable</t>
        </is>
      </c>
    </row>
    <row r="20">
      <c r="B20" s="5" t="inlineStr">
        <is>
          <t>Génération QR Code</t>
        </is>
      </c>
      <c r="C20" s="6" t="inlineStr">
        <is>
          <t>par QR</t>
        </is>
      </c>
      <c r="D20" s="6" t="n">
        <v>0</v>
      </c>
      <c r="E20" s="6" t="inlineStr">
        <is>
          <t>Local, gratuit</t>
        </is>
      </c>
    </row>
    <row r="21">
      <c r="B21" s="5" t="inlineStr">
        <is>
          <t>Email notification</t>
        </is>
      </c>
      <c r="C21" s="6" t="inlineStr">
        <is>
          <t>par email</t>
        </is>
      </c>
      <c r="D21" s="6" t="n">
        <v>0</v>
      </c>
      <c r="E21" s="6" t="inlineStr">
        <is>
          <t>Gratuit (limite 100/j)</t>
        </is>
      </c>
    </row>
    <row r="22">
      <c r="B22" s="5" t="inlineStr">
        <is>
          <t>API Calls (stockage)</t>
        </is>
      </c>
      <c r="C22" s="6" t="inlineStr">
        <is>
          <t>par 1000 appels</t>
        </is>
      </c>
      <c r="D22" s="6" t="n">
        <v>0.01</v>
      </c>
      <c r="E22" s="6" t="inlineStr">
        <is>
          <t>Très faible</t>
        </is>
      </c>
    </row>
    <row r="24">
      <c r="B24" s="3" t="inlineStr">
        <is>
          <t>3. COÛT PAR TYPE DE PLAN (Estimation mensuelle)</t>
        </is>
      </c>
    </row>
    <row r="25">
      <c r="B25" s="4" t="inlineStr">
        <is>
          <t>Plan</t>
        </is>
      </c>
      <c r="C25" s="4" t="inlineStr">
        <is>
          <t>Utilisateurs Estimés</t>
        </is>
      </c>
      <c r="D25" s="4" t="inlineStr">
        <is>
          <t>Coût Fixe Partagé</t>
        </is>
      </c>
      <c r="E25" s="4" t="inlineStr">
        <is>
          <t>Coût Variable</t>
        </is>
      </c>
      <c r="F25" s="4" t="inlineStr">
        <is>
          <t>Coût Total</t>
        </is>
      </c>
      <c r="G25" s="4" t="inlineStr">
        <is>
          <t>Coût par Utilisateur</t>
        </is>
      </c>
    </row>
    <row r="26">
      <c r="B26" s="6" t="inlineStr">
        <is>
          <t>Gratuit</t>
        </is>
      </c>
      <c r="C26" s="6" t="n">
        <v>100</v>
      </c>
      <c r="D26" s="6">
        <f>D15</f>
        <v/>
      </c>
      <c r="E26" s="6" t="n">
        <v>1</v>
      </c>
      <c r="F26" s="6">
        <f>D26+E26</f>
        <v/>
      </c>
      <c r="G26" s="6">
        <f>F26/C26</f>
        <v/>
      </c>
    </row>
    <row r="27">
      <c r="B27" s="6" t="inlineStr">
        <is>
          <t>Pro (199 MAD)</t>
        </is>
      </c>
      <c r="C27" s="6" t="n">
        <v>50</v>
      </c>
      <c r="D27" s="6">
        <f>D15</f>
        <v/>
      </c>
      <c r="E27" s="6" t="n">
        <v>2</v>
      </c>
      <c r="F27" s="6">
        <f>D27+E27</f>
        <v/>
      </c>
      <c r="G27" s="6">
        <f>F27/C27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33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2" ht="30" customHeight="1">
      <c r="B2" s="1" t="inlineStr">
        <is>
          <t>ANALYSE DE TARIFICATION - PROPOSITION</t>
        </is>
      </c>
    </row>
    <row r="4">
      <c r="B4" s="3" t="inlineStr">
        <is>
          <t>TARIFICATION ACTUELLE</t>
        </is>
      </c>
    </row>
    <row r="5">
      <c r="B5" s="4" t="inlineStr">
        <is>
          <t>Plan</t>
        </is>
      </c>
      <c r="C5" s="4" t="inlineStr">
        <is>
          <t>Prix (MAD/mois)</t>
        </is>
      </c>
      <c r="D5" s="4" t="inlineStr">
        <is>
          <t>Prix (MAD/an)</t>
        </is>
      </c>
      <c r="E5" s="4" t="inlineStr">
        <is>
          <t>Fonctionnalités Clés</t>
        </is>
      </c>
    </row>
    <row r="6">
      <c r="B6" s="8" t="inlineStr">
        <is>
          <t>Gratuit</t>
        </is>
      </c>
      <c r="C6" s="8" t="n">
        <v>0</v>
      </c>
      <c r="D6" s="8" t="n">
        <v>0</v>
      </c>
      <c r="E6" s="8" t="inlineStr">
        <is>
          <t>10 liens/mois, 5 factures/mois</t>
        </is>
      </c>
    </row>
    <row r="7">
      <c r="B7" s="8" t="inlineStr">
        <is>
          <t>Pro</t>
        </is>
      </c>
      <c r="C7" s="8" t="n">
        <v>199</v>
      </c>
      <c r="D7" s="8">
        <f>C7*12</f>
        <v/>
      </c>
      <c r="E7" s="8" t="inlineStr">
        <is>
          <t>Illimité, PDF, API, Support 24/7</t>
        </is>
      </c>
    </row>
    <row r="9">
      <c r="B9" s="9" t="inlineStr">
        <is>
          <t>PROBLÈMES IDENTIFIÉS</t>
        </is>
      </c>
    </row>
    <row r="10">
      <c r="B10" t="inlineStr">
        <is>
          <t>1. Saut trop grand: 0 MAD → 199 MAD (barrière à l'entrée)</t>
        </is>
      </c>
    </row>
    <row r="11">
      <c r="B11" t="inlineStr">
        <is>
          <t>2. Pas de plan annuel avec réduction</t>
        </is>
      </c>
    </row>
    <row r="12">
      <c r="B12" t="inlineStr">
        <is>
          <t>3. Pas d'option pour TPE/PME (besoin intermédiaire)</t>
        </is>
      </c>
    </row>
    <row r="13">
      <c r="B13" t="inlineStr">
        <is>
          <t>4. 199 MAD peut sembler élevé pour auto-entrepreneurs</t>
        </is>
      </c>
    </row>
    <row r="15">
      <c r="B15" s="10" t="inlineStr">
        <is>
          <t>NOUVELLE TARIFICATION PROPOSÉE</t>
        </is>
      </c>
    </row>
    <row r="16">
      <c r="B16" s="4" t="inlineStr">
        <is>
          <t>Plan</t>
        </is>
      </c>
      <c r="C16" s="4" t="inlineStr">
        <is>
          <t>Prix Mensuel</t>
        </is>
      </c>
      <c r="D16" s="4" t="inlineStr">
        <is>
          <t>Prix Annuel</t>
        </is>
      </c>
      <c r="E16" s="4" t="inlineStr">
        <is>
          <t>Économie</t>
        </is>
      </c>
      <c r="F16" s="4" t="inlineStr">
        <is>
          <t>Cible</t>
        </is>
      </c>
    </row>
    <row r="17">
      <c r="B17" s="6" t="inlineStr">
        <is>
          <t>Starter (Gratuit)</t>
        </is>
      </c>
      <c r="C17" s="6" t="n">
        <v>0</v>
      </c>
      <c r="D17" s="6" t="n">
        <v>0</v>
      </c>
      <c r="E17" s="6" t="inlineStr">
        <is>
          <t>-</t>
        </is>
      </c>
      <c r="F17" s="6" t="inlineStr">
        <is>
          <t>Testeurs, particuliers</t>
        </is>
      </c>
    </row>
    <row r="18">
      <c r="B18" s="6" t="inlineStr">
        <is>
          <t>Basic</t>
        </is>
      </c>
      <c r="C18" s="6" t="n">
        <v>49</v>
      </c>
      <c r="D18" s="6">
        <f>C18*10</f>
        <v/>
      </c>
      <c r="E18" s="6" t="inlineStr">
        <is>
          <t>2 mois gratuits</t>
        </is>
      </c>
      <c r="F18" s="6" t="inlineStr">
        <is>
          <t>Auto-entrepreneurs, freelances</t>
        </is>
      </c>
    </row>
    <row r="19">
      <c r="B19" s="6" t="inlineStr">
        <is>
          <t>Pro</t>
        </is>
      </c>
      <c r="C19" s="6" t="n">
        <v>99</v>
      </c>
      <c r="D19" s="6">
        <f>C19*10</f>
        <v/>
      </c>
      <c r="E19" s="6" t="inlineStr">
        <is>
          <t>2 mois gratuits</t>
        </is>
      </c>
      <c r="F19" s="6" t="inlineStr">
        <is>
          <t>TPE, petites entreprises</t>
        </is>
      </c>
    </row>
    <row r="20">
      <c r="B20" s="6" t="inlineStr">
        <is>
          <t>Business</t>
        </is>
      </c>
      <c r="C20" s="6" t="n">
        <v>199</v>
      </c>
      <c r="D20" s="6">
        <f>C20*10</f>
        <v/>
      </c>
      <c r="E20" s="6" t="inlineStr">
        <is>
          <t>2 mois gratuits</t>
        </is>
      </c>
      <c r="F20" s="6" t="inlineStr">
        <is>
          <t>PME, entreprises établies</t>
        </is>
      </c>
    </row>
    <row r="22">
      <c r="B22" s="3" t="inlineStr">
        <is>
          <t>FONCTIONNALITÉS PAR PLAN</t>
        </is>
      </c>
    </row>
    <row r="23">
      <c r="B23" s="4" t="inlineStr">
        <is>
          <t>Fonctionnalité</t>
        </is>
      </c>
      <c r="C23" s="4" t="inlineStr">
        <is>
          <t>Starter</t>
        </is>
      </c>
      <c r="D23" s="4" t="inlineStr">
        <is>
          <t>Basic</t>
        </is>
      </c>
      <c r="E23" s="4" t="inlineStr">
        <is>
          <t>Pro</t>
        </is>
      </c>
      <c r="F23" s="4" t="inlineStr">
        <is>
          <t>Business</t>
        </is>
      </c>
    </row>
    <row r="24">
      <c r="B24" s="5" t="inlineStr">
        <is>
          <t>Liens de paiement/mois</t>
        </is>
      </c>
      <c r="C24" s="6" t="inlineStr">
        <is>
          <t>10</t>
        </is>
      </c>
      <c r="D24" s="6" t="inlineStr">
        <is>
          <t>50</t>
        </is>
      </c>
      <c r="E24" s="6" t="inlineStr">
        <is>
          <t>200</t>
        </is>
      </c>
      <c r="F24" s="6" t="inlineStr">
        <is>
          <t>Illimité</t>
        </is>
      </c>
    </row>
    <row r="25">
      <c r="B25" s="5" t="inlineStr">
        <is>
          <t>Factures DGI/mois</t>
        </is>
      </c>
      <c r="C25" s="6" t="inlineStr">
        <is>
          <t>5</t>
        </is>
      </c>
      <c r="D25" s="6" t="inlineStr">
        <is>
          <t>25</t>
        </is>
      </c>
      <c r="E25" s="6" t="inlineStr">
        <is>
          <t>100</t>
        </is>
      </c>
      <c r="F25" s="6" t="inlineStr">
        <is>
          <t>Illimité</t>
        </is>
      </c>
    </row>
    <row r="26">
      <c r="B26" s="5" t="inlineStr">
        <is>
          <t>Export PDF</t>
        </is>
      </c>
      <c r="C26" s="6" t="inlineStr">
        <is>
          <t>❌</t>
        </is>
      </c>
      <c r="D26" s="6" t="inlineStr">
        <is>
          <t>✅</t>
        </is>
      </c>
      <c r="E26" s="6" t="inlineStr">
        <is>
          <t>✅</t>
        </is>
      </c>
      <c r="F26" s="6" t="inlineStr">
        <is>
          <t>✅</t>
        </is>
      </c>
    </row>
    <row r="27">
      <c r="B27" s="5" t="inlineStr">
        <is>
          <t>Rapports TVA</t>
        </is>
      </c>
      <c r="C27" s="6" t="inlineStr">
        <is>
          <t>❌</t>
        </is>
      </c>
      <c r="D27" s="6" t="inlineStr">
        <is>
          <t>✅</t>
        </is>
      </c>
      <c r="E27" s="6" t="inlineStr">
        <is>
          <t>✅</t>
        </is>
      </c>
      <c r="F27" s="6" t="inlineStr">
        <is>
          <t>✅</t>
        </is>
      </c>
    </row>
    <row r="28">
      <c r="B28" s="5" t="inlineStr">
        <is>
          <t>Suivi Auto-Entrepreneur</t>
        </is>
      </c>
      <c r="C28" s="6" t="inlineStr">
        <is>
          <t>❌</t>
        </is>
      </c>
      <c r="D28" s="6" t="inlineStr">
        <is>
          <t>✅</t>
        </is>
      </c>
      <c r="E28" s="6" t="inlineStr">
        <is>
          <t>✅</t>
        </is>
      </c>
      <c r="F28" s="6" t="inlineStr">
        <is>
          <t>✅</t>
        </is>
      </c>
    </row>
    <row r="29">
      <c r="B29" s="5" t="inlineStr">
        <is>
          <t>Calendrier fiscal</t>
        </is>
      </c>
      <c r="C29" s="6" t="inlineStr">
        <is>
          <t>❌</t>
        </is>
      </c>
      <c r="D29" s="6" t="inlineStr">
        <is>
          <t>❌</t>
        </is>
      </c>
      <c r="E29" s="6" t="inlineStr">
        <is>
          <t>✅</t>
        </is>
      </c>
      <c r="F29" s="6" t="inlineStr">
        <is>
          <t>✅</t>
        </is>
      </c>
    </row>
    <row r="30">
      <c r="B30" s="5" t="inlineStr">
        <is>
          <t>API Integration</t>
        </is>
      </c>
      <c r="C30" s="6" t="inlineStr">
        <is>
          <t>❌</t>
        </is>
      </c>
      <c r="D30" s="6" t="inlineStr">
        <is>
          <t>❌</t>
        </is>
      </c>
      <c r="E30" s="6" t="inlineStr">
        <is>
          <t>✅</t>
        </is>
      </c>
      <c r="F30" s="6" t="inlineStr">
        <is>
          <t>✅</t>
        </is>
      </c>
    </row>
    <row r="31">
      <c r="B31" s="5" t="inlineStr">
        <is>
          <t>Support</t>
        </is>
      </c>
      <c r="C31" s="6" t="inlineStr">
        <is>
          <t>Email</t>
        </is>
      </c>
      <c r="D31" s="6" t="inlineStr">
        <is>
          <t>Email</t>
        </is>
      </c>
      <c r="E31" s="6" t="inlineStr">
        <is>
          <t>Prioritaire</t>
        </is>
      </c>
      <c r="F31" s="6" t="inlineStr">
        <is>
          <t>Dédié 24/7</t>
        </is>
      </c>
    </row>
    <row r="32">
      <c r="B32" s="5" t="inlineStr">
        <is>
          <t>Multi-utilisateurs</t>
        </is>
      </c>
      <c r="C32" s="6" t="inlineStr">
        <is>
          <t>❌</t>
        </is>
      </c>
      <c r="D32" s="6" t="inlineStr">
        <is>
          <t>❌</t>
        </is>
      </c>
      <c r="E32" s="6" t="inlineStr">
        <is>
          <t>❌</t>
        </is>
      </c>
      <c r="F32" s="6" t="inlineStr">
        <is>
          <t>✅</t>
        </is>
      </c>
    </row>
    <row r="33">
      <c r="B33" s="5" t="inlineStr">
        <is>
          <t>Marque blanche</t>
        </is>
      </c>
      <c r="C33" s="6" t="inlineStr">
        <is>
          <t>❌</t>
        </is>
      </c>
      <c r="D33" s="6" t="inlineStr">
        <is>
          <t>❌</t>
        </is>
      </c>
      <c r="E33" s="6" t="inlineStr">
        <is>
          <t>❌</t>
        </is>
      </c>
      <c r="F33" s="6" t="inlineStr">
        <is>
          <t>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4"/>
  <sheetViews>
    <sheetView workbookViewId="0">
      <selection activeCell="A1" sqref="A1"/>
    </sheetView>
  </sheetViews>
  <sheetFormatPr baseColWidth="8" defaultRowHeight="15"/>
  <cols>
    <col width="25" customWidth="1" min="2" max="2"/>
    <col width="15" customWidth="1" min="3" max="3"/>
    <col width="15" customWidth="1" min="4" max="4"/>
    <col width="18" customWidth="1" min="5" max="5"/>
    <col width="18" customWidth="1" min="6" max="6"/>
    <col width="18" customWidth="1" min="7" max="7"/>
  </cols>
  <sheetData>
    <row r="2" ht="30" customHeight="1">
      <c r="B2" s="1" t="inlineStr">
        <is>
          <t>ANALYSE DU SEUIL DE RENTABILITÉ</t>
        </is>
      </c>
    </row>
    <row r="4">
      <c r="B4" s="3" t="inlineStr">
        <is>
          <t>HYPOTHÈSES</t>
        </is>
      </c>
    </row>
    <row r="5">
      <c r="B5" s="4" t="inlineStr">
        <is>
          <t>Paramètre</t>
        </is>
      </c>
      <c r="C5" s="4" t="inlineStr">
        <is>
          <t>Valeur</t>
        </is>
      </c>
      <c r="D5" s="4" t="inlineStr">
        <is>
          <t>Notes</t>
        </is>
      </c>
    </row>
    <row r="6">
      <c r="B6" s="8" t="inlineStr">
        <is>
          <t>Coûts fixes mensuels</t>
        </is>
      </c>
      <c r="C6" s="8" t="n">
        <v>435</v>
      </c>
      <c r="D6" s="8" t="inlineStr">
        <is>
          <t>Serveur + stockage + domaine</t>
        </is>
      </c>
    </row>
    <row r="7">
      <c r="B7" s="8" t="inlineStr">
        <is>
          <t>Temps développement (heures/mois)</t>
        </is>
      </c>
      <c r="C7" s="8" t="n">
        <v>20</v>
      </c>
      <c r="D7" s="8" t="inlineStr">
        <is>
          <t>Maintenance, support</t>
        </is>
      </c>
    </row>
    <row r="8">
      <c r="B8" s="8" t="inlineStr">
        <is>
          <t>Tarif horaire (MAD)</t>
        </is>
      </c>
      <c r="C8" s="8" t="n">
        <v>100</v>
      </c>
      <c r="D8" s="8" t="inlineStr">
        <is>
          <t>Valeur de votre temps</t>
        </is>
      </c>
    </row>
    <row r="9">
      <c r="B9" s="8" t="inlineStr">
        <is>
          <t>Coût effort mensuel</t>
        </is>
      </c>
      <c r="C9" s="8">
        <f>C7*C8</f>
        <v/>
      </c>
      <c r="D9" s="8">
        <f> C7 × C8</f>
        <v/>
      </c>
    </row>
    <row r="10">
      <c r="B10" s="8" t="inlineStr">
        <is>
          <t>Coût total mensuel</t>
        </is>
      </c>
      <c r="C10" s="8">
        <f>C6+C9</f>
        <v/>
      </c>
      <c r="D10" s="8" t="inlineStr">
        <is>
          <t>Fixes + Effort</t>
        </is>
      </c>
    </row>
    <row r="12">
      <c r="B12" s="3" t="inlineStr">
        <is>
          <t>CALCUL DU SEUIL DE RENTABILITÉ</t>
        </is>
      </c>
    </row>
    <row r="13">
      <c r="B13" s="4" t="inlineStr">
        <is>
          <t>Plan</t>
        </is>
      </c>
      <c r="C13" s="4" t="inlineStr">
        <is>
          <t>Prix</t>
        </is>
      </c>
      <c r="D13" s="4" t="inlineStr">
        <is>
          <t>Clients Nécessaires</t>
        </is>
      </c>
      <c r="E13" s="4" t="inlineStr">
        <is>
          <t>Revenu Mensuel</t>
        </is>
      </c>
    </row>
    <row r="14">
      <c r="B14" s="6" t="inlineStr">
        <is>
          <t>Basic (49 MAD)</t>
        </is>
      </c>
      <c r="C14" s="6" t="n">
        <v>49</v>
      </c>
      <c r="D14" s="6">
        <f>ROUNDUP(C10/D14,0)</f>
        <v/>
      </c>
      <c r="E14" s="6">
        <f>C14*E14</f>
        <v/>
      </c>
    </row>
    <row r="15">
      <c r="B15" s="6" t="inlineStr">
        <is>
          <t>Pro (99 MAD)</t>
        </is>
      </c>
      <c r="C15" s="6" t="n">
        <v>99</v>
      </c>
      <c r="D15" s="6">
        <f>ROUNDUP(C10/D15,0)</f>
        <v/>
      </c>
      <c r="E15" s="6">
        <f>C15*E15</f>
        <v/>
      </c>
    </row>
    <row r="16">
      <c r="B16" s="6" t="inlineStr">
        <is>
          <t>Business (199 MAD)</t>
        </is>
      </c>
      <c r="C16" s="6" t="n">
        <v>199</v>
      </c>
      <c r="D16" s="6">
        <f>ROUNDUP(C10/D16,0)</f>
        <v/>
      </c>
      <c r="E16" s="6">
        <f>C16*E16</f>
        <v/>
      </c>
    </row>
    <row r="17">
      <c r="B17" s="6" t="inlineStr">
        <is>
          <t>Mix (moyenne 100 MAD)</t>
        </is>
      </c>
      <c r="C17" s="6" t="n">
        <v>100</v>
      </c>
      <c r="D17" s="6">
        <f>ROUNDUP(C10/D17,0)</f>
        <v/>
      </c>
      <c r="E17" s="6">
        <f>C17*E17</f>
        <v/>
      </c>
    </row>
    <row r="19">
      <c r="B19" s="3" t="inlineStr">
        <is>
          <t>SCÉNARIOS DE CROISSANCE</t>
        </is>
      </c>
    </row>
    <row r="20">
      <c r="B20" s="4" t="inlineStr">
        <is>
          <t>Scénario</t>
        </is>
      </c>
      <c r="C20" s="4" t="inlineStr">
        <is>
          <t>Clients Basic</t>
        </is>
      </c>
      <c r="D20" s="4" t="inlineStr">
        <is>
          <t>Clients Pro</t>
        </is>
      </c>
      <c r="E20" s="4" t="inlineStr">
        <is>
          <t>Clients Business</t>
        </is>
      </c>
      <c r="F20" s="4" t="inlineStr">
        <is>
          <t>Revenu Total</t>
        </is>
      </c>
      <c r="G20" s="4" t="inlineStr">
        <is>
          <t>Profit Mensuel</t>
        </is>
      </c>
    </row>
    <row r="21">
      <c r="B21" s="6" t="inlineStr">
        <is>
          <t>Conservateur (6 mois)</t>
        </is>
      </c>
      <c r="C21" s="6" t="n">
        <v>10</v>
      </c>
      <c r="D21" s="6" t="n">
        <v>5</v>
      </c>
      <c r="E21" s="6" t="n">
        <v>2</v>
      </c>
      <c r="F21" s="6">
        <f>C21*49+D21*99+E21*199</f>
        <v/>
      </c>
      <c r="G21" s="6">
        <f>F21-C10</f>
        <v/>
      </c>
    </row>
    <row r="22">
      <c r="B22" s="6" t="inlineStr">
        <is>
          <t>Modéré (12 mois)</t>
        </is>
      </c>
      <c r="C22" s="6" t="n">
        <v>50</v>
      </c>
      <c r="D22" s="6" t="n">
        <v>25</v>
      </c>
      <c r="E22" s="6" t="n">
        <v>10</v>
      </c>
      <c r="F22" s="6">
        <f>C22*49+D22*99+E22*199</f>
        <v/>
      </c>
      <c r="G22" s="6">
        <f>F22-C10</f>
        <v/>
      </c>
    </row>
    <row r="23">
      <c r="B23" s="6" t="inlineStr">
        <is>
          <t>Optimiste (18 mois)</t>
        </is>
      </c>
      <c r="C23" s="6" t="n">
        <v>150</v>
      </c>
      <c r="D23" s="6" t="n">
        <v>75</v>
      </c>
      <c r="E23" s="6" t="n">
        <v>30</v>
      </c>
      <c r="F23" s="6">
        <f>C23*49+D23*99+E23*199</f>
        <v/>
      </c>
      <c r="G23" s="6">
        <f>F23-C10</f>
        <v/>
      </c>
    </row>
    <row r="24">
      <c r="B24" s="6" t="inlineStr">
        <is>
          <t>Ambitieux (24 mois)</t>
        </is>
      </c>
      <c r="C24" s="6" t="n">
        <v>300</v>
      </c>
      <c r="D24" s="6" t="n">
        <v>150</v>
      </c>
      <c r="E24" s="6" t="n">
        <v>50</v>
      </c>
      <c r="F24" s="6">
        <f>C24*49+D24*99+E24*199</f>
        <v/>
      </c>
      <c r="G24" s="6">
        <f>F24-C10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36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2" ht="30" customHeight="1">
      <c r="B2" s="1" t="inlineStr">
        <is>
          <t>RECOMMANDATIONS STRATÉGIQUES</t>
        </is>
      </c>
    </row>
    <row r="3">
      <c r="B3" t="inlineStr"/>
    </row>
    <row r="4">
      <c r="B4" s="3" t="inlineStr">
        <is>
          <t>🎯 STRATÉGIE D'ACQUISITION UTILISATEURS</t>
        </is>
      </c>
    </row>
    <row r="5">
      <c r="B5" t="inlineStr"/>
    </row>
    <row r="6">
      <c r="B6" s="11" t="inlineStr">
        <is>
          <t>1. PLAN STARTER GRATUIT AMÉLIORÉ:</t>
        </is>
      </c>
    </row>
    <row r="7">
      <c r="B7" s="12" t="inlineStr">
        <is>
          <t xml:space="preserve">   • Augmenter les limites: 20 liens/mois, 10 factures/mois</t>
        </is>
      </c>
    </row>
    <row r="8">
      <c r="B8" s="12" t="inlineStr">
        <is>
          <t xml:space="preserve">   • Objectif: Réduire la friction pour l'adoption</t>
        </is>
      </c>
    </row>
    <row r="9">
      <c r="B9" s="12" t="inlineStr">
        <is>
          <t xml:space="preserve">   • Coût marginal: quasi-nul (stockage négligeable)</t>
        </is>
      </c>
    </row>
    <row r="10">
      <c r="B10" t="inlineStr"/>
    </row>
    <row r="11">
      <c r="B11" s="11" t="inlineStr">
        <is>
          <t>2. PLAN BASIC À 49 MAD/MOIS:</t>
        </is>
      </c>
    </row>
    <row r="12">
      <c r="B12" s="12" t="inlineStr">
        <is>
          <t xml:space="preserve">   • Cible: Auto-entrepreneurs (200,000+ au Maroc)</t>
        </is>
      </c>
    </row>
    <row r="13">
      <c r="B13" s="12" t="inlineStr">
        <is>
          <t xml:space="preserve">   • Limite 80,000 DH/an → besoin de suivi simple</t>
        </is>
      </c>
    </row>
    <row r="14">
      <c r="B14" s="12" t="inlineStr">
        <is>
          <t xml:space="preserve">   • 49 MAD = prix d'un café par jour = accessible</t>
        </is>
      </c>
    </row>
    <row r="15">
      <c r="B15" t="inlineStr"/>
    </row>
    <row r="16">
      <c r="B16" s="11" t="inlineStr">
        <is>
          <t>3. PLAN PRO À 99 MAD/MOIS:</t>
        </is>
      </c>
    </row>
    <row r="17">
      <c r="B17" s="12" t="inlineStr">
        <is>
          <t xml:space="preserve">   • Ancien prix 199 MAD → réduction de 50%</t>
        </is>
      </c>
    </row>
    <row r="18">
      <c r="B18" s="12" t="inlineStr">
        <is>
          <t xml:space="preserve">   • Cible: TPE, freelances établis</t>
        </is>
      </c>
    </row>
    <row r="19">
      <c r="B19" s="12" t="inlineStr">
        <is>
          <t xml:space="preserve">   • Meilleur rapport qualité/prix du marché</t>
        </is>
      </c>
    </row>
    <row r="20">
      <c r="B20" t="inlineStr"/>
    </row>
    <row r="21">
      <c r="B21" s="11" t="inlineStr">
        <is>
          <t>4. PLAN BUSINESS À 199 MAD/MOIS:</t>
        </is>
      </c>
    </row>
    <row r="22">
      <c r="B22" s="12" t="inlineStr">
        <is>
          <t xml:space="preserve">   • Pour entreprises avec besoins avancés</t>
        </is>
      </c>
    </row>
    <row r="23">
      <c r="B23" s="12" t="inlineStr">
        <is>
          <t xml:space="preserve">   • Multi-utilisateurs + API + marque blanche</t>
        </is>
      </c>
    </row>
    <row r="24">
      <c r="B24" t="inlineStr"/>
    </row>
    <row r="25">
      <c r="B25" s="3" t="inlineStr">
        <is>
          <t>💰 ESTIMATION REVENU PAR SCÉNARIO:</t>
        </is>
      </c>
    </row>
    <row r="26">
      <c r="B26" t="inlineStr"/>
    </row>
    <row r="27">
      <c r="B27" s="12" t="inlineStr">
        <is>
          <t xml:space="preserve">   • 100 clients mixtes → ~8,000 MAD/mois</t>
        </is>
      </c>
    </row>
    <row r="28">
      <c r="B28" s="12" t="inlineStr">
        <is>
          <t xml:space="preserve">   • 300 clients mixtes → ~25,000 MAD/mois</t>
        </is>
      </c>
    </row>
    <row r="29">
      <c r="B29" s="12" t="inlineStr">
        <is>
          <t xml:space="preserve">   • 500 clients mixtes → ~45,000 MAD/mois</t>
        </is>
      </c>
    </row>
    <row r="30">
      <c r="B30" t="inlineStr"/>
    </row>
    <row r="31">
      <c r="B31" s="3" t="inlineStr">
        <is>
          <t>🚀 ACTIONS PRIORITAIRES:</t>
        </is>
      </c>
    </row>
    <row r="32">
      <c r="B32" t="inlineStr"/>
    </row>
    <row r="33">
      <c r="B33" t="inlineStr">
        <is>
          <t xml:space="preserve">   1. Intégrer CMI/Fatourati (obligation fiscale 2026)</t>
        </is>
      </c>
    </row>
    <row r="34">
      <c r="B34" t="inlineStr">
        <is>
          <t xml:space="preserve">   2. Partenariat avec ordres des experts-comptables</t>
        </is>
      </c>
    </row>
    <row r="35">
      <c r="B35" t="inlineStr">
        <is>
          <t xml:space="preserve">   3. Marketing: LinkedIn + Facebook (entreprises marocaines)</t>
        </is>
      </c>
    </row>
    <row r="36">
      <c r="B36" t="inlineStr">
        <is>
          <t xml:space="preserve">   4. SEO: 'facture en ligne Maroc', 'e-invoicing DGI'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2026-02-28T03:35:07Z</dcterms:created>
  <dcterms:modified xmlns:dcterms="http://purl.org/dc/terms/" xmlns:xsi="http://www.w3.org/2001/XMLSchema-instance" xsi:type="dcterms:W3CDTF">2026-02-28T03:35:07Z</dcterms:modified>
</cp:coreProperties>
</file>